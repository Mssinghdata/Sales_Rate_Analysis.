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yoti\Desktop\"/>
    </mc:Choice>
  </mc:AlternateContent>
  <xr:revisionPtr revIDLastSave="0" documentId="8_{50281E7A-22E8-4108-968A-582BF7C1EBB2}" xr6:coauthVersionLast="36" xr6:coauthVersionMax="36" xr10:uidLastSave="{00000000-0000-0000-0000-000000000000}"/>
  <bookViews>
    <workbookView xWindow="0" yWindow="0" windowWidth="23040" windowHeight="10284" activeTab="2" xr2:uid="{A54B1225-2662-4E57-920A-9C93E9A06430}"/>
  </bookViews>
  <sheets>
    <sheet name="Master Data" sheetId="1" r:id="rId1"/>
    <sheet name="Purchase " sheetId="2" r:id="rId2"/>
    <sheet name="sale" sheetId="3" r:id="rId3"/>
    <sheet name="Stock" sheetId="6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6" l="1"/>
  <c r="E2" i="6" s="1"/>
  <c r="F2" i="6" s="1"/>
  <c r="D2" i="6"/>
  <c r="C3" i="6"/>
  <c r="E3" i="6" s="1"/>
  <c r="F3" i="6" s="1"/>
  <c r="D3" i="6"/>
  <c r="H2" i="3"/>
  <c r="H3" i="3"/>
  <c r="H4" i="3"/>
  <c r="H5" i="3"/>
  <c r="H6" i="3"/>
  <c r="H7" i="3"/>
  <c r="H8" i="3"/>
  <c r="H9" i="3"/>
  <c r="I3" i="2"/>
  <c r="I4" i="2"/>
  <c r="I5" i="2"/>
  <c r="I6" i="2"/>
  <c r="D5" i="6" l="1"/>
  <c r="C4" i="6"/>
  <c r="D4" i="6"/>
  <c r="D6" i="6"/>
  <c r="D7" i="6"/>
  <c r="C5" i="6"/>
  <c r="C6" i="6"/>
  <c r="C7" i="6"/>
  <c r="E4" i="6" l="1"/>
  <c r="F4" i="6" s="1"/>
  <c r="E7" i="6"/>
  <c r="F7" i="6" s="1"/>
  <c r="E6" i="6"/>
  <c r="F6" i="6" s="1"/>
  <c r="E5" i="6"/>
  <c r="F5" i="6" s="1"/>
  <c r="H2" i="2"/>
  <c r="I2" i="2"/>
</calcChain>
</file>

<file path=xl/sharedStrings.xml><?xml version="1.0" encoding="utf-8"?>
<sst xmlns="http://schemas.openxmlformats.org/spreadsheetml/2006/main" count="68" uniqueCount="34">
  <si>
    <t>Purchase date</t>
  </si>
  <si>
    <t>product code</t>
  </si>
  <si>
    <t xml:space="preserve">Product name </t>
  </si>
  <si>
    <t>Category</t>
  </si>
  <si>
    <t>Supplier name</t>
  </si>
  <si>
    <t>Quantity</t>
  </si>
  <si>
    <t>Rate</t>
  </si>
  <si>
    <t>Amount</t>
  </si>
  <si>
    <t>sale date</t>
  </si>
  <si>
    <t>Customer name</t>
  </si>
  <si>
    <t>Quantity sold</t>
  </si>
  <si>
    <t>Product code</t>
  </si>
  <si>
    <t>Product name</t>
  </si>
  <si>
    <t>Column1</t>
  </si>
  <si>
    <t>Pen</t>
  </si>
  <si>
    <t>stationary</t>
  </si>
  <si>
    <t>jk</t>
  </si>
  <si>
    <t>Stock</t>
  </si>
  <si>
    <t>Bajaj</t>
  </si>
  <si>
    <t>PD</t>
  </si>
  <si>
    <t>colours</t>
  </si>
  <si>
    <t>JK</t>
  </si>
  <si>
    <t>Purchase data</t>
  </si>
  <si>
    <t>SD</t>
  </si>
  <si>
    <t>Reorder</t>
  </si>
  <si>
    <t>Purchase</t>
  </si>
  <si>
    <t>Sale</t>
  </si>
  <si>
    <t>chart</t>
  </si>
  <si>
    <t>Bala</t>
  </si>
  <si>
    <t>fairy book</t>
  </si>
  <si>
    <t>priyanka</t>
  </si>
  <si>
    <t>Pencil box</t>
  </si>
  <si>
    <t>Stationary</t>
  </si>
  <si>
    <t>Janvi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</si>
</sst>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0" fillId="0" borderId="2" xfId="0" applyBorder="1"/>
    <xf numFmtId="0" fontId="0" fillId="0" borderId="0" xfId="0" applyBorder="1"/>
    <xf numFmtId="0" fontId="0" fillId="0" borderId="1" xfId="0" applyFont="1" applyBorder="1"/>
    <xf numFmtId="14" fontId="0" fillId="0" borderId="0" xfId="0" applyNumberFormat="1" applyBorder="1"/>
    <xf numFmtId="0" fontId="0" fillId="0" borderId="3" xfId="0" applyBorder="1"/>
    <xf numFmtId="0" fontId="0" fillId="0" borderId="4" xfId="0" applyFont="1" applyBorder="1"/>
    <xf numFmtId="14" fontId="0" fillId="0" borderId="3" xfId="0" applyNumberFormat="1" applyBorder="1"/>
    <xf numFmtId="14" fontId="0" fillId="0" borderId="2" xfId="0" applyNumberFormat="1" applyBorder="1"/>
    <xf numFmtId="0" fontId="0" fillId="0" borderId="2" xfId="0" applyNumberFormat="1" applyBorder="1"/>
    <xf numFmtId="0" fontId="0" fillId="0" borderId="0" xfId="0" applyNumberFormat="1"/>
    <xf numFmtId="0" fontId="0" fillId="0" borderId="1" xfId="0" applyNumberFormat="1" applyBorder="1"/>
  </cellXfs>
  <cellStyles count="1">
    <cellStyle name="Normal" xfId="0" builtinId="0"/>
  </cellStyles>
  <dxfs count="27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271020</xdr:colOff>
      <xdr:row>0</xdr:row>
      <xdr:rowOff>164969</xdr:rowOff>
    </xdr:from>
    <xdr:to>
      <xdr:col>5</xdr:col>
      <xdr:colOff>377072</xdr:colOff>
      <xdr:row>2</xdr:row>
      <xdr:rowOff>133547</xdr:rowOff>
    </xdr:to>
    <xdr:sp macro="[0]!pucha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DEC33CD-0F7E-43F5-A5FC-2D15EE1BFE93}"/>
            </a:ext>
          </a:extLst>
        </xdr:cNvPr>
        <xdr:cNvSpPr/>
      </xdr:nvSpPr>
      <xdr:spPr>
        <a:xfrm>
          <a:off x="2706278" y="164969"/>
          <a:ext cx="1080155" cy="337794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</a:t>
          </a:r>
          <a:r>
            <a:rPr lang="en-IN" sz="1100" i="1">
              <a:latin typeface="Algerian" panose="04020705040A02060702" pitchFamily="82" charset="0"/>
            </a:rPr>
            <a:t>Purchase</a:t>
          </a:r>
        </a:p>
      </xdr:txBody>
    </xdr:sp>
    <xdr:clientData/>
  </xdr:twoCellAnchor>
  <xdr:twoCellAnchor>
    <xdr:from>
      <xdr:col>8</xdr:col>
      <xdr:colOff>286732</xdr:colOff>
      <xdr:row>0</xdr:row>
      <xdr:rowOff>149257</xdr:rowOff>
    </xdr:from>
    <xdr:to>
      <xdr:col>9</xdr:col>
      <xdr:colOff>290659</xdr:colOff>
      <xdr:row>2</xdr:row>
      <xdr:rowOff>145330</xdr:rowOff>
    </xdr:to>
    <xdr:sp macro="[0]!sal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052BFD4-3386-4575-8798-25AEB13F3B9E}"/>
            </a:ext>
          </a:extLst>
        </xdr:cNvPr>
        <xdr:cNvSpPr/>
      </xdr:nvSpPr>
      <xdr:spPr>
        <a:xfrm>
          <a:off x="5522536" y="149257"/>
          <a:ext cx="1056587" cy="365289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i="1">
              <a:latin typeface="Algerian" panose="04020705040A02060702" pitchFamily="82" charset="0"/>
            </a:rPr>
            <a:t>      save</a:t>
          </a:r>
        </a:p>
      </xdr:txBody>
    </xdr:sp>
    <xdr:clientData/>
  </xdr:twoCellAnchor>
  <xdr:twoCellAnchor>
    <xdr:from>
      <xdr:col>11</xdr:col>
      <xdr:colOff>321297</xdr:colOff>
      <xdr:row>0</xdr:row>
      <xdr:rowOff>136686</xdr:rowOff>
    </xdr:from>
    <xdr:to>
      <xdr:col>12</xdr:col>
      <xdr:colOff>424206</xdr:colOff>
      <xdr:row>2</xdr:row>
      <xdr:rowOff>132759</xdr:rowOff>
    </xdr:to>
    <xdr:sp macro="[0]!m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75144B4-E7D4-4258-BCBD-C0E3691F601A}"/>
            </a:ext>
          </a:extLst>
        </xdr:cNvPr>
        <xdr:cNvSpPr/>
      </xdr:nvSpPr>
      <xdr:spPr>
        <a:xfrm>
          <a:off x="8023782" y="136686"/>
          <a:ext cx="1155568" cy="365289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i="1">
              <a:latin typeface="Algerian" panose="04020705040A02060702" pitchFamily="82" charset="0"/>
            </a:rPr>
            <a:t>     stockpppp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C21CB34-0B1F-438F-8B24-24F5FE7182CF}" name="Table7" displayName="Table7" ref="A1:I6" totalsRowShown="0" headerRowDxfId="26" headerRowBorderDxfId="25" tableBorderDxfId="24">
  <autoFilter ref="A1:I6" xr:uid="{C8D83836-E4ED-4DB0-BECD-59F9D6A2ABB8}"/>
  <tableColumns count="9">
    <tableColumn id="2" xr3:uid="{BDFB3041-ADAC-46D2-86CB-86512DE183B8}" name="Column1" dataDxfId="23"/>
    <tableColumn id="3" xr3:uid="{0BCDF17E-FB95-4DD7-9E77-1B1C5A458190}" name="Purchase data" dataDxfId="22"/>
    <tableColumn id="4" xr3:uid="{1751157C-A2BB-44A5-BF61-8220BE08DC3F}" name="product code" dataDxfId="21"/>
    <tableColumn id="5" xr3:uid="{9C9B5113-E216-4455-8196-82F57D572613}" name="Product name " dataDxfId="20"/>
    <tableColumn id="6" xr3:uid="{94EFB2A0-5E17-4040-8FE4-FF376068B4FA}" name="Category" dataDxfId="19"/>
    <tableColumn id="7" xr3:uid="{0736FB36-C2AC-4190-A32D-147281709C09}" name="Supplier name" dataDxfId="18"/>
    <tableColumn id="8" xr3:uid="{7DAAA14F-8B5A-4683-AFD5-084895A209DD}" name="Quantity" dataDxfId="17"/>
    <tableColumn id="9" xr3:uid="{962DDAFE-288A-40C9-BC68-444A4A7BED52}" name="Rate" dataDxfId="16">
      <calculatedColumnFormula>G2*H2</calculatedColumnFormula>
    </tableColumn>
    <tableColumn id="10" xr3:uid="{8232D98F-9A69-4B9C-BB82-8B18BDC0DC71}" name="Amount" dataDxfId="3">
      <calculatedColumnFormula>G2*H2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6C6613-356A-4189-8311-B876177A0C81}" name="Table8" displayName="Table8" ref="A1:H9" totalsRowShown="0" headerRowDxfId="15" headerRowBorderDxfId="14" tableBorderDxfId="13">
  <autoFilter ref="A1:H9" xr:uid="{54655442-8CF0-4F28-B25C-0BFDFFEC7A07}"/>
  <tableColumns count="8">
    <tableColumn id="1" xr3:uid="{2B7C606E-3B9E-493D-BA3D-F7A1B98745C0}" name="sale date"/>
    <tableColumn id="2" xr3:uid="{513AA4FA-59A8-4BBC-B1CC-02E63BEB03CE}" name="product code" dataDxfId="12"/>
    <tableColumn id="3" xr3:uid="{84732D6F-DD77-4260-92EA-6E585297ABD6}" name="Product name " dataDxfId="11"/>
    <tableColumn id="4" xr3:uid="{45970F92-5B54-4AE0-A3D6-B74FB4C85E25}" name="Category" dataDxfId="10"/>
    <tableColumn id="5" xr3:uid="{24A008A5-CE4D-4148-8038-29144CA950AF}" name="Customer name" dataDxfId="9"/>
    <tableColumn id="6" xr3:uid="{92A3BEDF-66F0-4DA0-8E0E-5DD1AE2B5466}" name="Quantity sold" dataDxfId="8"/>
    <tableColumn id="7" xr3:uid="{33B64855-35DB-4FD7-8C50-72D234C5EE7F}" name="Rate" dataDxfId="7"/>
    <tableColumn id="8" xr3:uid="{FFB56480-84A7-4E2D-9557-4CA75CF227C5}" name="Amount" dataDxfId="2">
      <calculatedColumnFormula>F2*G2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E33F55D-0EAB-4339-93ED-BEB312478966}" name="Table10" displayName="Table10" ref="A1:F7" totalsRowShown="0">
  <autoFilter ref="A1:F7" xr:uid="{6C2F97FC-3A7E-4EAE-94AE-D5FBD176ECD5}"/>
  <tableColumns count="6">
    <tableColumn id="1" xr3:uid="{473C2F69-C2A4-48EB-8857-8360E8F13D9F}" name="Product code" dataDxfId="1"/>
    <tableColumn id="2" xr3:uid="{77A6C4E1-F12F-437A-87DA-50772449C392}" name="Product name" dataDxfId="0"/>
    <tableColumn id="3" xr3:uid="{E7F4E32F-0729-4FDC-9794-7D115275FDC4}" name="Purchase" dataDxfId="6">
      <calculatedColumnFormula>Table7[[#This Row],[Quantity]]</calculatedColumnFormula>
    </tableColumn>
    <tableColumn id="4" xr3:uid="{3BE667ED-61DC-41D3-9AC4-74D781205036}" name="Sale" dataDxfId="5">
      <calculatedColumnFormula>Table8[[#This Row],[Quantity sold]]</calculatedColumnFormula>
    </tableColumn>
    <tableColumn id="5" xr3:uid="{B7451549-B140-4F66-94C3-560EF7EA355E}" name="Stock" dataDxfId="4">
      <calculatedColumnFormula>Table10[[#This Row],[Purchase]]-Table10[[#This Row],[Sale]]</calculatedColumnFormula>
    </tableColumn>
    <tableColumn id="6" xr3:uid="{77230CC2-1F68-411F-BAE1-5A2AD283DD07}" name="Reorder">
      <calculatedColumnFormula>IF(Table10[[#This Row],[Stock]]&lt;=20,"Reorder","OKK")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D4BF6-6D7C-496F-A469-B385CDDA2327}">
  <sheetPr codeName="Sheet1">
    <tabColor rgb="FF7030A0"/>
  </sheetPr>
  <dimension ref="E6:M13"/>
  <sheetViews>
    <sheetView topLeftCell="I1" zoomScale="194" workbookViewId="0">
      <selection activeCell="K5" sqref="K5"/>
    </sheetView>
  </sheetViews>
  <sheetFormatPr defaultRowHeight="14.4" x14ac:dyDescent="0.3"/>
  <cols>
    <col min="5" max="5" width="14.21875" customWidth="1"/>
    <col min="6" max="6" width="10.33203125" bestFit="1" customWidth="1"/>
    <col min="9" max="9" width="15.33203125" customWidth="1"/>
    <col min="10" max="10" width="10.33203125" bestFit="1" customWidth="1"/>
    <col min="12" max="12" width="15.33203125" customWidth="1"/>
  </cols>
  <sheetData>
    <row r="6" spans="5:13" x14ac:dyDescent="0.3">
      <c r="E6" s="1" t="s">
        <v>0</v>
      </c>
      <c r="F6" s="2"/>
      <c r="I6" s="5" t="s">
        <v>8</v>
      </c>
      <c r="J6" s="2"/>
      <c r="L6" s="1" t="s">
        <v>11</v>
      </c>
      <c r="M6" s="1"/>
    </row>
    <row r="7" spans="5:13" x14ac:dyDescent="0.3">
      <c r="E7" s="1" t="s">
        <v>1</v>
      </c>
      <c r="F7" s="1"/>
      <c r="I7" s="5" t="s">
        <v>1</v>
      </c>
      <c r="J7" s="1"/>
      <c r="L7" s="1" t="s">
        <v>12</v>
      </c>
      <c r="M7" s="1"/>
    </row>
    <row r="8" spans="5:13" x14ac:dyDescent="0.3">
      <c r="E8" s="1" t="s">
        <v>2</v>
      </c>
      <c r="F8" s="1"/>
      <c r="I8" s="5" t="s">
        <v>2</v>
      </c>
      <c r="J8" s="1"/>
      <c r="L8" s="4"/>
      <c r="M8" s="4"/>
    </row>
    <row r="9" spans="5:13" x14ac:dyDescent="0.3">
      <c r="E9" s="1" t="s">
        <v>3</v>
      </c>
      <c r="F9" s="1"/>
      <c r="I9" s="5" t="s">
        <v>3</v>
      </c>
      <c r="J9" s="1"/>
      <c r="L9" s="4"/>
      <c r="M9" s="4"/>
    </row>
    <row r="10" spans="5:13" x14ac:dyDescent="0.3">
      <c r="E10" s="1" t="s">
        <v>4</v>
      </c>
      <c r="F10" s="5"/>
      <c r="I10" s="5" t="s">
        <v>9</v>
      </c>
      <c r="J10" s="5"/>
      <c r="L10" s="4"/>
      <c r="M10" s="4"/>
    </row>
    <row r="11" spans="5:13" x14ac:dyDescent="0.3">
      <c r="E11" s="1" t="s">
        <v>5</v>
      </c>
      <c r="F11" s="1"/>
      <c r="I11" s="5" t="s">
        <v>10</v>
      </c>
      <c r="J11" s="1"/>
      <c r="L11" s="4"/>
      <c r="M11" s="4"/>
    </row>
    <row r="12" spans="5:13" x14ac:dyDescent="0.3">
      <c r="E12" s="1" t="s">
        <v>6</v>
      </c>
      <c r="F12" s="1"/>
      <c r="I12" s="5" t="s">
        <v>6</v>
      </c>
      <c r="J12" s="1"/>
      <c r="L12" s="4"/>
      <c r="M12" s="4"/>
    </row>
    <row r="13" spans="5:13" x14ac:dyDescent="0.3">
      <c r="E13" s="1" t="s">
        <v>7</v>
      </c>
      <c r="F13" s="1"/>
      <c r="I13" s="8" t="s">
        <v>7</v>
      </c>
      <c r="J13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B612C-5A68-48A0-84B3-605984C11D4B}">
  <sheetPr codeName="Sheet2">
    <tabColor rgb="FF92D050"/>
  </sheetPr>
  <dimension ref="A1:I10"/>
  <sheetViews>
    <sheetView topLeftCell="B1" zoomScale="160" zoomScaleNormal="160" workbookViewId="0">
      <selection activeCell="H10" sqref="H10"/>
    </sheetView>
  </sheetViews>
  <sheetFormatPr defaultRowHeight="14.4" x14ac:dyDescent="0.3"/>
  <cols>
    <col min="1" max="1" width="16.5546875" customWidth="1"/>
    <col min="2" max="2" width="16.88671875" customWidth="1"/>
    <col min="3" max="3" width="17.109375" customWidth="1"/>
    <col min="4" max="4" width="12.88671875" customWidth="1"/>
    <col min="5" max="5" width="14.109375" customWidth="1"/>
    <col min="6" max="6" width="15.33203125" customWidth="1"/>
    <col min="7" max="7" width="10" customWidth="1"/>
    <col min="8" max="9" width="9.33203125" customWidth="1"/>
  </cols>
  <sheetData>
    <row r="1" spans="1:9" x14ac:dyDescent="0.3">
      <c r="A1" s="7" t="s">
        <v>13</v>
      </c>
      <c r="B1" s="7" t="s">
        <v>22</v>
      </c>
      <c r="C1" s="7" t="s">
        <v>1</v>
      </c>
      <c r="D1" s="7" t="s">
        <v>2</v>
      </c>
      <c r="E1" s="7" t="s">
        <v>3</v>
      </c>
      <c r="F1" s="7" t="s">
        <v>4</v>
      </c>
      <c r="G1" s="7" t="s">
        <v>5</v>
      </c>
      <c r="H1" s="7" t="s">
        <v>6</v>
      </c>
      <c r="I1" s="7" t="s">
        <v>7</v>
      </c>
    </row>
    <row r="2" spans="1:9" x14ac:dyDescent="0.3">
      <c r="A2" s="7"/>
      <c r="B2" s="7"/>
      <c r="C2" s="7"/>
      <c r="D2" s="7"/>
      <c r="E2" s="7"/>
      <c r="F2" s="7"/>
      <c r="G2" s="7"/>
      <c r="H2" s="7">
        <f ca="1">G2*H2</f>
        <v>0</v>
      </c>
      <c r="I2" s="7">
        <f ca="1">G2*H2</f>
        <v>0</v>
      </c>
    </row>
    <row r="3" spans="1:9" x14ac:dyDescent="0.3">
      <c r="A3" s="7"/>
      <c r="B3" s="2">
        <v>45867</v>
      </c>
      <c r="C3" s="1">
        <v>1006</v>
      </c>
      <c r="D3" s="1" t="s">
        <v>31</v>
      </c>
      <c r="E3" s="1" t="s">
        <v>32</v>
      </c>
      <c r="F3" s="5" t="s">
        <v>21</v>
      </c>
      <c r="G3" s="1">
        <v>50</v>
      </c>
      <c r="H3" s="1">
        <v>60</v>
      </c>
      <c r="I3" s="1">
        <f t="shared" ref="I3:I6" si="0">G3*H3</f>
        <v>3000</v>
      </c>
    </row>
    <row r="4" spans="1:9" x14ac:dyDescent="0.3">
      <c r="A4" s="7"/>
      <c r="B4" s="2">
        <v>45865</v>
      </c>
      <c r="C4" s="1">
        <v>1003</v>
      </c>
      <c r="D4" s="1" t="s">
        <v>29</v>
      </c>
      <c r="E4" s="1" t="s">
        <v>15</v>
      </c>
      <c r="F4" s="5" t="s">
        <v>19</v>
      </c>
      <c r="G4" s="1">
        <v>50</v>
      </c>
      <c r="H4" s="1">
        <v>80</v>
      </c>
      <c r="I4" s="1">
        <f t="shared" si="0"/>
        <v>4000</v>
      </c>
    </row>
    <row r="5" spans="1:9" x14ac:dyDescent="0.3">
      <c r="A5" s="9"/>
      <c r="B5" s="2">
        <v>45865</v>
      </c>
      <c r="C5" s="1">
        <v>1002</v>
      </c>
      <c r="D5" s="1" t="s">
        <v>27</v>
      </c>
      <c r="E5" s="1" t="s">
        <v>15</v>
      </c>
      <c r="F5" s="5" t="s">
        <v>18</v>
      </c>
      <c r="G5" s="1">
        <v>100</v>
      </c>
      <c r="H5" s="1">
        <v>5</v>
      </c>
      <c r="I5" s="1">
        <f t="shared" si="0"/>
        <v>500</v>
      </c>
    </row>
    <row r="6" spans="1:9" x14ac:dyDescent="0.3">
      <c r="A6" s="10"/>
      <c r="B6" s="10">
        <v>45865</v>
      </c>
      <c r="C6" s="3">
        <v>1005</v>
      </c>
      <c r="D6" s="3" t="s">
        <v>20</v>
      </c>
      <c r="E6" s="3" t="s">
        <v>15</v>
      </c>
      <c r="F6" s="3" t="s">
        <v>21</v>
      </c>
      <c r="G6" s="3">
        <v>100</v>
      </c>
      <c r="H6" s="3">
        <v>45</v>
      </c>
      <c r="I6" s="11">
        <f t="shared" si="0"/>
        <v>4500</v>
      </c>
    </row>
    <row r="7" spans="1:9" x14ac:dyDescent="0.3">
      <c r="B7" s="6"/>
      <c r="C7" s="4"/>
      <c r="D7" s="4"/>
      <c r="E7" s="4"/>
      <c r="F7" s="4"/>
      <c r="G7" s="4"/>
      <c r="H7" s="4"/>
      <c r="I7" s="4"/>
    </row>
    <row r="8" spans="1:9" x14ac:dyDescent="0.3">
      <c r="B8" s="6"/>
      <c r="C8" s="4"/>
      <c r="D8" s="4"/>
      <c r="E8" s="4"/>
      <c r="F8" s="4"/>
      <c r="G8" s="4"/>
      <c r="H8" s="4"/>
      <c r="I8" s="4"/>
    </row>
    <row r="9" spans="1:9" x14ac:dyDescent="0.3">
      <c r="B9" s="6"/>
      <c r="C9" s="4"/>
      <c r="D9" s="4"/>
      <c r="E9" s="4"/>
      <c r="F9" s="4"/>
      <c r="G9" s="4"/>
      <c r="H9" s="4"/>
      <c r="I9" s="4"/>
    </row>
    <row r="10" spans="1:9" x14ac:dyDescent="0.3">
      <c r="B10" s="4"/>
      <c r="C10" s="4"/>
      <c r="D10" s="4"/>
      <c r="E10" s="4"/>
      <c r="F10" s="4"/>
      <c r="G10" s="4"/>
      <c r="H10" s="4"/>
      <c r="I10" s="4"/>
    </row>
  </sheetData>
  <pageMargins left="0.7" right="0.7" top="0.75" bottom="0.75" header="0.3" footer="0.3"/>
  <pageSetup orientation="portrait" r:id="rId1"/>
  <ignoredErrors>
    <ignoredError sqref="H3:H6" calculatedColumn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2DE85-CD35-4185-9366-E13472581B3B}">
  <sheetPr codeName="Sheet3">
    <tabColor rgb="FFFFFF00"/>
  </sheetPr>
  <dimension ref="A1:H12"/>
  <sheetViews>
    <sheetView tabSelected="1" zoomScaleNormal="100" workbookViewId="0">
      <selection activeCell="A2" sqref="A2"/>
    </sheetView>
  </sheetViews>
  <sheetFormatPr defaultRowHeight="14.4" x14ac:dyDescent="0.3"/>
  <cols>
    <col min="1" max="1" width="13.33203125" customWidth="1"/>
    <col min="2" max="2" width="15.5546875" style="4" customWidth="1"/>
    <col min="3" max="3" width="17.77734375" style="4" customWidth="1"/>
    <col min="4" max="4" width="15.21875" style="4" customWidth="1"/>
    <col min="5" max="5" width="16.21875" style="4" customWidth="1"/>
    <col min="6" max="6" width="16" style="4" customWidth="1"/>
    <col min="7" max="8" width="10.44140625" style="4" customWidth="1"/>
    <col min="9" max="16384" width="8.88671875" style="4"/>
  </cols>
  <sheetData>
    <row r="1" spans="1:8" customFormat="1" x14ac:dyDescent="0.3">
      <c r="A1" s="7" t="s">
        <v>8</v>
      </c>
      <c r="B1" s="7" t="s">
        <v>1</v>
      </c>
      <c r="C1" s="7" t="s">
        <v>2</v>
      </c>
      <c r="D1" s="7" t="s">
        <v>3</v>
      </c>
      <c r="E1" s="7" t="s">
        <v>9</v>
      </c>
      <c r="F1" s="7" t="s">
        <v>10</v>
      </c>
      <c r="G1" s="7" t="s">
        <v>6</v>
      </c>
      <c r="H1" s="7" t="s">
        <v>7</v>
      </c>
    </row>
    <row r="2" spans="1:8" customFormat="1" x14ac:dyDescent="0.3">
      <c r="A2" s="7"/>
      <c r="B2" s="1"/>
      <c r="C2" s="1"/>
      <c r="D2" s="1"/>
      <c r="E2" s="1"/>
      <c r="F2" s="1"/>
      <c r="G2" s="1"/>
      <c r="H2" s="13">
        <f>F2*G2</f>
        <v>0</v>
      </c>
    </row>
    <row r="3" spans="1:8" customFormat="1" x14ac:dyDescent="0.3">
      <c r="A3" s="2">
        <v>45867</v>
      </c>
      <c r="B3" s="1">
        <v>1006</v>
      </c>
      <c r="C3" s="1" t="s">
        <v>31</v>
      </c>
      <c r="D3" s="1" t="s">
        <v>32</v>
      </c>
      <c r="E3" s="5" t="s">
        <v>33</v>
      </c>
      <c r="F3" s="1">
        <v>20</v>
      </c>
      <c r="G3" s="1">
        <v>100</v>
      </c>
      <c r="H3" s="1">
        <f t="shared" ref="H3:H9" si="0">F3*G3</f>
        <v>2000</v>
      </c>
    </row>
    <row r="4" spans="1:8" x14ac:dyDescent="0.3">
      <c r="A4" s="2">
        <v>45865</v>
      </c>
      <c r="B4" s="1">
        <v>1003</v>
      </c>
      <c r="C4" s="1" t="s">
        <v>29</v>
      </c>
      <c r="D4" s="1" t="s">
        <v>15</v>
      </c>
      <c r="E4" s="5" t="s">
        <v>30</v>
      </c>
      <c r="F4" s="1">
        <v>80</v>
      </c>
      <c r="G4" s="1">
        <v>80</v>
      </c>
      <c r="H4" s="1">
        <f t="shared" si="0"/>
        <v>6400</v>
      </c>
    </row>
    <row r="5" spans="1:8" x14ac:dyDescent="0.3">
      <c r="A5" s="2">
        <v>45865</v>
      </c>
      <c r="B5" s="1">
        <v>1002</v>
      </c>
      <c r="C5" s="1" t="s">
        <v>27</v>
      </c>
      <c r="D5" s="1" t="s">
        <v>15</v>
      </c>
      <c r="E5" s="5" t="s">
        <v>28</v>
      </c>
      <c r="F5" s="1">
        <v>50</v>
      </c>
      <c r="G5" s="1">
        <v>10</v>
      </c>
      <c r="H5" s="1">
        <f t="shared" si="0"/>
        <v>500</v>
      </c>
    </row>
    <row r="6" spans="1:8" x14ac:dyDescent="0.3">
      <c r="A6" s="2">
        <v>45865</v>
      </c>
      <c r="B6" s="1">
        <v>1002</v>
      </c>
      <c r="C6" s="1" t="s">
        <v>14</v>
      </c>
      <c r="D6" s="1" t="s">
        <v>15</v>
      </c>
      <c r="E6" s="1" t="s">
        <v>23</v>
      </c>
      <c r="F6" s="1">
        <v>50</v>
      </c>
      <c r="G6" s="1">
        <v>30</v>
      </c>
      <c r="H6" s="1">
        <f t="shared" si="0"/>
        <v>1500</v>
      </c>
    </row>
    <row r="7" spans="1:8" x14ac:dyDescent="0.3">
      <c r="A7" s="2">
        <v>45865</v>
      </c>
      <c r="B7" s="1">
        <v>1004</v>
      </c>
      <c r="C7" s="1" t="s">
        <v>20</v>
      </c>
      <c r="D7" s="1" t="s">
        <v>15</v>
      </c>
      <c r="E7" s="1" t="s">
        <v>16</v>
      </c>
      <c r="F7" s="1">
        <v>50</v>
      </c>
      <c r="G7" s="1">
        <v>50</v>
      </c>
      <c r="H7" s="1">
        <f t="shared" si="0"/>
        <v>2500</v>
      </c>
    </row>
    <row r="8" spans="1:8" x14ac:dyDescent="0.3">
      <c r="A8" s="4"/>
      <c r="B8" s="5"/>
      <c r="C8" s="5"/>
      <c r="D8" s="5"/>
      <c r="E8" s="5"/>
      <c r="F8" s="5"/>
      <c r="G8" s="5"/>
      <c r="H8" s="1">
        <f t="shared" si="0"/>
        <v>0</v>
      </c>
    </row>
    <row r="9" spans="1:8" x14ac:dyDescent="0.3">
      <c r="B9" s="1"/>
      <c r="C9" s="1"/>
      <c r="D9" s="1"/>
      <c r="E9" s="1"/>
      <c r="F9" s="1"/>
      <c r="G9" s="1"/>
      <c r="H9" s="1">
        <f t="shared" si="0"/>
        <v>0</v>
      </c>
    </row>
    <row r="10" spans="1:8" x14ac:dyDescent="0.3">
      <c r="A10" s="4"/>
    </row>
    <row r="11" spans="1:8" x14ac:dyDescent="0.3">
      <c r="A11" s="6"/>
    </row>
    <row r="12" spans="1:8" x14ac:dyDescent="0.3">
      <c r="A12" s="4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7E9B2-15B5-40DB-A40B-07539E0589EF}">
  <sheetPr>
    <tabColor theme="5"/>
  </sheetPr>
  <dimension ref="A1:F7"/>
  <sheetViews>
    <sheetView workbookViewId="0">
      <selection activeCell="A2" sqref="A2:A6"/>
    </sheetView>
  </sheetViews>
  <sheetFormatPr defaultRowHeight="14.4" x14ac:dyDescent="0.3"/>
  <cols>
    <col min="1" max="1" width="14.109375" customWidth="1"/>
    <col min="2" max="2" width="14.77734375" customWidth="1"/>
    <col min="3" max="3" width="10.5546875" customWidth="1"/>
    <col min="4" max="4" width="10.44140625" customWidth="1"/>
    <col min="6" max="6" width="9.5546875" customWidth="1"/>
  </cols>
  <sheetData>
    <row r="1" spans="1:6" x14ac:dyDescent="0.3">
      <c r="A1" s="1" t="s">
        <v>11</v>
      </c>
      <c r="B1" s="1" t="s">
        <v>12</v>
      </c>
      <c r="C1" t="s">
        <v>25</v>
      </c>
      <c r="D1" t="s">
        <v>26</v>
      </c>
      <c r="E1" t="s">
        <v>17</v>
      </c>
      <c r="F1" t="s">
        <v>24</v>
      </c>
    </row>
    <row r="2" spans="1:6" x14ac:dyDescent="0.3">
      <c r="A2" s="1"/>
      <c r="B2" s="1"/>
      <c r="C2" s="12">
        <f>Table7[[#This Row],[Quantity]]</f>
        <v>0</v>
      </c>
      <c r="D2" s="12">
        <f>Table8[[#This Row],[Quantity sold]]</f>
        <v>0</v>
      </c>
      <c r="E2" s="12">
        <f>Table10[[#This Row],[Purchase]]-Table10[[#This Row],[Sale]]</f>
        <v>0</v>
      </c>
      <c r="F2" t="str">
        <f>IF(Table10[[#This Row],[Stock]]&lt;=20,"Reorder","OKK")</f>
        <v>Reorder</v>
      </c>
    </row>
    <row r="3" spans="1:6" x14ac:dyDescent="0.3">
      <c r="A3" s="1"/>
      <c r="B3" s="1"/>
      <c r="C3" s="12">
        <f>Table7[[#This Row],[Quantity]]</f>
        <v>50</v>
      </c>
      <c r="D3" s="12">
        <f>Table8[[#This Row],[Quantity sold]]</f>
        <v>20</v>
      </c>
      <c r="E3" s="12">
        <f>Table10[[#This Row],[Purchase]]-Table10[[#This Row],[Sale]]</f>
        <v>30</v>
      </c>
      <c r="F3" t="str">
        <f>IF(Table10[[#This Row],[Stock]]&lt;=20,"Reorder","OKK")</f>
        <v>OKK</v>
      </c>
    </row>
    <row r="4" spans="1:6" x14ac:dyDescent="0.3">
      <c r="A4" s="1"/>
      <c r="B4" s="1"/>
      <c r="C4" s="12">
        <f>Table7[[#This Row],[Quantity]]</f>
        <v>50</v>
      </c>
      <c r="D4" s="12">
        <f>Table8[[#This Row],[Quantity sold]]</f>
        <v>80</v>
      </c>
      <c r="E4" s="12">
        <f>Table10[[#This Row],[Purchase]]-Table10[[#This Row],[Sale]]</f>
        <v>-30</v>
      </c>
      <c r="F4" t="str">
        <f>IF(Table10[[#This Row],[Stock]]&lt;=20,"Reorder","OKK")</f>
        <v>Reorder</v>
      </c>
    </row>
    <row r="5" spans="1:6" x14ac:dyDescent="0.3">
      <c r="A5" s="1"/>
      <c r="B5" s="1"/>
      <c r="C5">
        <f>Table7[[#This Row],[Quantity]]</f>
        <v>100</v>
      </c>
      <c r="D5">
        <f>Table8[[#This Row],[Quantity sold]]</f>
        <v>50</v>
      </c>
      <c r="E5">
        <f>Table10[[#This Row],[Purchase]]-Table10[[#This Row],[Sale]]</f>
        <v>50</v>
      </c>
      <c r="F5" t="str">
        <f>IF(Table10[[#This Row],[Stock]]&lt;=20,"Reorder","OKK")</f>
        <v>OKK</v>
      </c>
    </row>
    <row r="6" spans="1:6" x14ac:dyDescent="0.3">
      <c r="A6" s="1"/>
      <c r="B6" s="1"/>
      <c r="C6">
        <f>Table7[[#This Row],[Quantity]]</f>
        <v>100</v>
      </c>
      <c r="D6">
        <f>Table8[[#This Row],[Quantity sold]]</f>
        <v>50</v>
      </c>
      <c r="E6">
        <f>Table10[[#This Row],[Purchase]]-Table10[[#This Row],[Sale]]</f>
        <v>50</v>
      </c>
      <c r="F6" t="str">
        <f>IF(Table10[[#This Row],[Stock]]&lt;=20,"Reorder","OKK")</f>
        <v>OKK</v>
      </c>
    </row>
    <row r="7" spans="1:6" x14ac:dyDescent="0.3">
      <c r="A7" s="1"/>
      <c r="B7" s="1"/>
      <c r="C7" t="e">
        <f>Table7[[#This Row],[Quantity]]</f>
        <v>#VALUE!</v>
      </c>
      <c r="D7">
        <f>Table8[[#This Row],[Quantity sold]]</f>
        <v>50</v>
      </c>
      <c r="E7" t="e">
        <f>Table10[[#This Row],[Purchase]]-Table10[[#This Row],[Sale]]</f>
        <v>#VALUE!</v>
      </c>
      <c r="F7" t="e">
        <f>IF(Table10[[#This Row],[Stock]]&lt;=20,"Reorder","OKK")</f>
        <v>#VALUE!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 Data</vt:lpstr>
      <vt:lpstr>Purchase </vt:lpstr>
      <vt:lpstr>sale</vt:lpstr>
      <vt:lpstr>Stock</vt:lpstr>
    </vt:vector>
  </TitlesOfParts>
  <Company>MKCL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jotu singh</dc:creator>
  <cp:lastModifiedBy>jotu singh</cp:lastModifiedBy>
  <cp:lastPrinted>2025-07-27T17:00:03Z</cp:lastPrinted>
  <dcterms:created xsi:type="dcterms:W3CDTF">2025-07-27T11:18:30Z</dcterms:created>
  <dcterms:modified xsi:type="dcterms:W3CDTF">2025-07-29T03:38:32Z</dcterms:modified>
</cp:coreProperties>
</file>